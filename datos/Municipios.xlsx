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<sst xmlns="http://schemas.openxmlformats.org/spreadsheetml/2006/main" count="51" uniqueCount="51">
  <si>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MUNICIPIOINE</t>
  </si>
  <si>
    <t xml:space="preserve">POBMUN</t>
  </si>
  <si>
    <t xml:space="preserve">CODMUNICIPIO</t>
  </si>
  <si>
    <t xml:space="preserve">municipio</t>
  </si>
  <si>
    <t xml:space="preserve">30001 Abanilla</t>
  </si>
  <si>
    <t xml:space="preserve">30002 Abarán</t>
  </si>
  <si>
    <t xml:space="preserve">30003 Águilas</t>
  </si>
  <si>
    <t xml:space="preserve">30004 Albudeite</t>
  </si>
  <si>
    <t xml:space="preserve">30005 Alcantarilla</t>
  </si>
  <si>
    <t xml:space="preserve">30902 Alcázares, Los</t>
  </si>
  <si>
    <t xml:space="preserve">30006 Aledo</t>
  </si>
  <si>
    <t xml:space="preserve">30007 Alguazas</t>
  </si>
  <si>
    <t xml:space="preserve">30008 Alhama de Murcia</t>
  </si>
  <si>
    <t xml:space="preserve">30009 Archena</t>
  </si>
  <si>
    <t xml:space="preserve">30010 Beniel</t>
  </si>
  <si>
    <t xml:space="preserve">30011 Blanca</t>
  </si>
  <si>
    <t xml:space="preserve">30012 Bullas</t>
  </si>
  <si>
    <t xml:space="preserve">30013 Calasparra</t>
  </si>
  <si>
    <t xml:space="preserve">30014 Campos del Río</t>
  </si>
  <si>
    <t xml:space="preserve">30015 Caravaca de la Cruz</t>
  </si>
  <si>
    <t xml:space="preserve">30016 Cartagena</t>
  </si>
  <si>
    <t xml:space="preserve">30017 Cehegín</t>
  </si>
  <si>
    <t xml:space="preserve">30018 Ceutí</t>
  </si>
  <si>
    <t xml:space="preserve">30019 Cieza</t>
  </si>
  <si>
    <t xml:space="preserve">30020 Fortuna</t>
  </si>
  <si>
    <t xml:space="preserve">30021 Fuente Álamo de Murcia</t>
  </si>
  <si>
    <t xml:space="preserve">30022 Jumilla</t>
  </si>
  <si>
    <t xml:space="preserve">30023 Librilla</t>
  </si>
  <si>
    <t xml:space="preserve">30024 Lorca</t>
  </si>
  <si>
    <t xml:space="preserve">30025 Lorquí</t>
  </si>
  <si>
    <t xml:space="preserve">30026 Mazarrón</t>
  </si>
  <si>
    <t xml:space="preserve">30027 Molina de Segura</t>
  </si>
  <si>
    <t xml:space="preserve">30028 Moratalla</t>
  </si>
  <si>
    <t xml:space="preserve">30029 Mula</t>
  </si>
  <si>
    <t xml:space="preserve">30030 Murcia</t>
  </si>
  <si>
    <t xml:space="preserve">30031 Ojós</t>
  </si>
  <si>
    <t xml:space="preserve">30032 Pliego</t>
  </si>
  <si>
    <t xml:space="preserve">30033 Puerto Lumbreras</t>
  </si>
  <si>
    <t xml:space="preserve">30034 Ricote</t>
  </si>
  <si>
    <t xml:space="preserve">30035 San Javier</t>
  </si>
  <si>
    <t xml:space="preserve">30036 San Pedro del Pinatar</t>
  </si>
  <si>
    <t xml:space="preserve">30901 Santomera</t>
  </si>
  <si>
    <t xml:space="preserve">30037 Torre-Pacheco</t>
  </si>
  <si>
    <t xml:space="preserve">30038 Torres de Cotillas, Las</t>
  </si>
  <si>
    <t xml:space="preserve">30039 Totana</t>
  </si>
  <si>
    <t xml:space="preserve">30040 Ulea</t>
  </si>
  <si>
    <t xml:space="preserve">30041 Unión, La</t>
  </si>
  <si>
    <t xml:space="preserve">30042 Villanueva del Río Segura</t>
  </si>
  <si>
    <t xml:space="preserve">30043 Yecla</t>
  </si>
  <si>
    <t xml:space="preserve">30999 Desconocido</t>
  </si>
  <si>
    <t xml:space="preserve">Desconocido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</si>
</sst>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J42" activeCellId="0" sqref="J42"/>
    </sheetView>
  </sheetViews>
  <sheetFormatPr defaultRowHeight="15" zeroHeight="false" outlineLevelRow="0" outlineLevelCol="0"/>
  <cols>
    <col collapsed="false" customWidth="true" hidden="false" outlineLevel="0" max="1" min="1" style="0" width="20.41"/>
    <col collapsed="false" customWidth="true" hidden="false" outlineLevel="0" max="2" min="2" style="0" width="10.62"/>
    <col collapsed="false" customWidth="true" hidden="false" outlineLevel="0" max="3" min="3" style="0" width="12.64"/>
    <col collapsed="false" customWidth="true" hidden="false" outlineLevel="0" max="1025" min="4" style="0" width="10.6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6127</v>
      </c>
      <c r="C2" s="0" t="str">
        <f aca="false">MID(A2,1,5)</f>
        <v>30001</v>
      </c>
      <c r="D2" s="0" t="str">
        <f aca="false">RIGHT(A2, LEN(A2) - FIND(" ", A2))</f>
        <v>Abanilla</v>
      </c>
    </row>
    <row r="3" customFormat="false" ht="15" hidden="false" customHeight="false" outlineLevel="0" collapsed="false">
      <c r="A3" s="0" t="s">
        <v>5</v>
      </c>
      <c r="B3" s="0" t="n">
        <v>12964</v>
      </c>
      <c r="C3" s="0" t="str">
        <f aca="false">MID(A3,1,5)</f>
        <v>30002</v>
      </c>
      <c r="D3" s="0" t="str">
        <f aca="false">RIGHT(A3, LEN(A3) - FIND(" ", A3))</f>
        <v>Abarán</v>
      </c>
    </row>
    <row r="4" customFormat="false" ht="15" hidden="false" customHeight="false" outlineLevel="0" collapsed="false">
      <c r="A4" s="0" t="s">
        <v>6</v>
      </c>
      <c r="B4" s="0" t="n">
        <v>35301</v>
      </c>
      <c r="C4" s="0" t="str">
        <f aca="false">MID(A4,1,5)</f>
        <v>30003</v>
      </c>
      <c r="D4" s="0" t="str">
        <f aca="false">RIGHT(A4, LEN(A4) - FIND(" ", A4))</f>
        <v>Águilas</v>
      </c>
    </row>
    <row r="5" customFormat="false" ht="15" hidden="false" customHeight="false" outlineLevel="0" collapsed="false">
      <c r="A5" s="0" t="s">
        <v>7</v>
      </c>
      <c r="B5" s="0" t="n">
        <v>1373</v>
      </c>
      <c r="C5" s="0" t="str">
        <f aca="false">MID(A5,1,5)</f>
        <v>30004</v>
      </c>
      <c r="D5" s="0" t="str">
        <f aca="false">RIGHT(A5, LEN(A5) - FIND(" ", A5))</f>
        <v>Albudeite</v>
      </c>
    </row>
    <row r="6" customFormat="false" ht="15" hidden="false" customHeight="false" outlineLevel="0" collapsed="false">
      <c r="A6" s="0" t="s">
        <v>8</v>
      </c>
      <c r="B6" s="0" t="n">
        <v>42048</v>
      </c>
      <c r="C6" s="0" t="str">
        <f aca="false">MID(A6,1,5)</f>
        <v>30005</v>
      </c>
      <c r="D6" s="0" t="str">
        <f aca="false">RIGHT(A6, LEN(A6) - FIND(" ", A6))</f>
        <v>Alcantarilla</v>
      </c>
    </row>
    <row r="7" customFormat="false" ht="15" hidden="false" customHeight="false" outlineLevel="0" collapsed="false">
      <c r="A7" s="0" t="s">
        <v>9</v>
      </c>
      <c r="B7" s="0" t="n">
        <v>16138</v>
      </c>
      <c r="C7" s="0" t="str">
        <f aca="false">MID(A7,1,5)</f>
        <v>30902</v>
      </c>
      <c r="D7" s="0" t="str">
        <f aca="false">RIGHT(A7, LEN(A7) - FIND(" ", A7))</f>
        <v>Alcázares, Los</v>
      </c>
    </row>
    <row r="8" customFormat="false" ht="15" hidden="false" customHeight="false" outlineLevel="0" collapsed="false">
      <c r="A8" s="0" t="s">
        <v>10</v>
      </c>
      <c r="B8" s="0" t="n">
        <v>1022</v>
      </c>
      <c r="C8" s="0" t="str">
        <f aca="false">MID(A8,1,5)</f>
        <v>30006</v>
      </c>
      <c r="D8" s="0" t="str">
        <f aca="false">RIGHT(A8, LEN(A8) - FIND(" ", A8))</f>
        <v>Aledo</v>
      </c>
    </row>
    <row r="9" customFormat="false" ht="15" hidden="false" customHeight="false" outlineLevel="0" collapsed="false">
      <c r="A9" s="0" t="s">
        <v>11</v>
      </c>
      <c r="B9" s="0" t="n">
        <v>9638</v>
      </c>
      <c r="C9" s="0" t="str">
        <f aca="false">MID(A9,1,5)</f>
        <v>30007</v>
      </c>
      <c r="D9" s="0" t="str">
        <f aca="false">RIGHT(A9, LEN(A9) - FIND(" ", A9))</f>
        <v>Alguazas</v>
      </c>
    </row>
    <row r="10" customFormat="false" ht="15" hidden="false" customHeight="false" outlineLevel="0" collapsed="false">
      <c r="A10" s="0" t="s">
        <v>12</v>
      </c>
      <c r="B10" s="0" t="n">
        <v>22077</v>
      </c>
      <c r="C10" s="0" t="str">
        <f aca="false">MID(A10,1,5)</f>
        <v>30008</v>
      </c>
      <c r="D10" s="0" t="str">
        <f aca="false">RIGHT(A10, LEN(A10) - FIND(" ", A10))</f>
        <v>Alhama de Murcia</v>
      </c>
    </row>
    <row r="11" customFormat="false" ht="15" hidden="false" customHeight="false" outlineLevel="0" collapsed="false">
      <c r="A11" s="0" t="s">
        <v>13</v>
      </c>
      <c r="B11" s="0" t="n">
        <v>19301</v>
      </c>
      <c r="C11" s="0" t="str">
        <f aca="false">MID(A11,1,5)</f>
        <v>30009</v>
      </c>
      <c r="D11" s="0" t="str">
        <f aca="false">RIGHT(A11, LEN(A11) - FIND(" ", A11))</f>
        <v>Archena</v>
      </c>
    </row>
    <row r="12" customFormat="false" ht="15" hidden="false" customHeight="false" outlineLevel="0" collapsed="false">
      <c r="A12" s="0" t="s">
        <v>14</v>
      </c>
      <c r="B12" s="0" t="n">
        <v>11318</v>
      </c>
      <c r="C12" s="0" t="str">
        <f aca="false">MID(A12,1,5)</f>
        <v>30010</v>
      </c>
      <c r="D12" s="0" t="str">
        <f aca="false">RIGHT(A12, LEN(A12) - FIND(" ", A12))</f>
        <v>Beniel</v>
      </c>
    </row>
    <row r="13" customFormat="false" ht="15" hidden="false" customHeight="false" outlineLevel="0" collapsed="false">
      <c r="A13" s="0" t="s">
        <v>15</v>
      </c>
      <c r="B13" s="0" t="n">
        <v>6539</v>
      </c>
      <c r="C13" s="0" t="str">
        <f aca="false">MID(A13,1,5)</f>
        <v>30011</v>
      </c>
      <c r="D13" s="0" t="str">
        <f aca="false">RIGHT(A13, LEN(A13) - FIND(" ", A13))</f>
        <v>Blanca</v>
      </c>
    </row>
    <row r="14" customFormat="false" ht="15" hidden="false" customHeight="false" outlineLevel="0" collapsed="false">
      <c r="A14" s="0" t="s">
        <v>16</v>
      </c>
      <c r="B14" s="0" t="n">
        <v>11530</v>
      </c>
      <c r="C14" s="0" t="str">
        <f aca="false">MID(A14,1,5)</f>
        <v>30012</v>
      </c>
      <c r="D14" s="0" t="str">
        <f aca="false">RIGHT(A14, LEN(A14) - FIND(" ", A14))</f>
        <v>Bullas</v>
      </c>
    </row>
    <row r="15" customFormat="false" ht="15" hidden="false" customHeight="false" outlineLevel="0" collapsed="false">
      <c r="A15" s="0" t="s">
        <v>17</v>
      </c>
      <c r="B15" s="0" t="n">
        <v>10178</v>
      </c>
      <c r="C15" s="0" t="str">
        <f aca="false">MID(A15,1,5)</f>
        <v>30013</v>
      </c>
      <c r="D15" s="0" t="str">
        <f aca="false">RIGHT(A15, LEN(A15) - FIND(" ", A15))</f>
        <v>Calasparra</v>
      </c>
    </row>
    <row r="16" customFormat="false" ht="15" hidden="false" customHeight="false" outlineLevel="0" collapsed="false">
      <c r="A16" s="0" t="s">
        <v>18</v>
      </c>
      <c r="B16" s="0" t="n">
        <v>2028</v>
      </c>
      <c r="C16" s="0" t="str">
        <f aca="false">MID(A16,1,5)</f>
        <v>30014</v>
      </c>
      <c r="D16" s="0" t="str">
        <f aca="false">RIGHT(A16, LEN(A16) - FIND(" ", A16))</f>
        <v>Campos del Río</v>
      </c>
    </row>
    <row r="17" customFormat="false" ht="15" hidden="false" customHeight="false" outlineLevel="0" collapsed="false">
      <c r="A17" s="0" t="s">
        <v>19</v>
      </c>
      <c r="B17" s="0" t="n">
        <v>25760</v>
      </c>
      <c r="C17" s="0" t="str">
        <f aca="false">MID(A17,1,5)</f>
        <v>30015</v>
      </c>
      <c r="D17" s="0" t="str">
        <f aca="false">RIGHT(A17, LEN(A17) - FIND(" ", A17))</f>
        <v>Caravaca de la Cruz</v>
      </c>
    </row>
    <row r="18" customFormat="false" ht="15" hidden="false" customHeight="false" outlineLevel="0" collapsed="false">
      <c r="A18" s="0" t="s">
        <v>20</v>
      </c>
      <c r="B18" s="0" t="n">
        <v>214802</v>
      </c>
      <c r="C18" s="0" t="str">
        <f aca="false">MID(A18,1,5)</f>
        <v>30016</v>
      </c>
      <c r="D18" s="0" t="str">
        <f aca="false">RIGHT(A18, LEN(A18) - FIND(" ", A18))</f>
        <v>Cartagena</v>
      </c>
    </row>
    <row r="19" customFormat="false" ht="15" hidden="false" customHeight="false" outlineLevel="0" collapsed="false">
      <c r="A19" s="0" t="s">
        <v>21</v>
      </c>
      <c r="B19" s="0" t="n">
        <v>14983</v>
      </c>
      <c r="C19" s="0" t="str">
        <f aca="false">MID(A19,1,5)</f>
        <v>30017</v>
      </c>
      <c r="D19" s="0" t="str">
        <f aca="false">RIGHT(A19, LEN(A19) - FIND(" ", A19))</f>
        <v>Cehegín</v>
      </c>
    </row>
    <row r="20" customFormat="false" ht="15" hidden="false" customHeight="false" outlineLevel="0" collapsed="false">
      <c r="A20" s="0" t="s">
        <v>22</v>
      </c>
      <c r="B20" s="0" t="n">
        <v>11787</v>
      </c>
      <c r="C20" s="0" t="str">
        <f aca="false">MID(A20,1,5)</f>
        <v>30018</v>
      </c>
      <c r="D20" s="0" t="str">
        <f aca="false">RIGHT(A20, LEN(A20) - FIND(" ", A20))</f>
        <v>Ceutí</v>
      </c>
    </row>
    <row r="21" customFormat="false" ht="15" hidden="false" customHeight="false" outlineLevel="0" collapsed="false">
      <c r="A21" s="0" t="s">
        <v>23</v>
      </c>
      <c r="B21" s="0" t="n">
        <v>34988</v>
      </c>
      <c r="C21" s="0" t="str">
        <f aca="false">MID(A21,1,5)</f>
        <v>30019</v>
      </c>
      <c r="D21" s="0" t="str">
        <f aca="false">RIGHT(A21, LEN(A21) - FIND(" ", A21))</f>
        <v>Cieza</v>
      </c>
    </row>
    <row r="22" customFormat="false" ht="15" hidden="false" customHeight="false" outlineLevel="0" collapsed="false">
      <c r="A22" s="0" t="s">
        <v>24</v>
      </c>
      <c r="B22" s="0" t="n">
        <v>10112</v>
      </c>
      <c r="C22" s="0" t="str">
        <f aca="false">MID(A22,1,5)</f>
        <v>30020</v>
      </c>
      <c r="D22" s="0" t="str">
        <f aca="false">RIGHT(A22, LEN(A22) - FIND(" ", A22))</f>
        <v>Fortuna</v>
      </c>
    </row>
    <row r="23" customFormat="false" ht="15" hidden="false" customHeight="false" outlineLevel="0" collapsed="false">
      <c r="A23" s="0" t="s">
        <v>25</v>
      </c>
      <c r="B23" s="0" t="n">
        <v>16583</v>
      </c>
      <c r="C23" s="0" t="str">
        <f aca="false">MID(A23,1,5)</f>
        <v>30021</v>
      </c>
      <c r="D23" s="0" t="str">
        <f aca="false">RIGHT(A23, LEN(A23) - FIND(" ", A23))</f>
        <v>Fuente Álamo de Murcia</v>
      </c>
    </row>
    <row r="24" customFormat="false" ht="15" hidden="false" customHeight="false" outlineLevel="0" collapsed="false">
      <c r="A24" s="0" t="s">
        <v>26</v>
      </c>
      <c r="B24" s="0" t="n">
        <v>25600</v>
      </c>
      <c r="C24" s="0" t="str">
        <f aca="false">MID(A24,1,5)</f>
        <v>30022</v>
      </c>
      <c r="D24" s="0" t="str">
        <f aca="false">RIGHT(A24, LEN(A24) - FIND(" ", A24))</f>
        <v>Jumilla</v>
      </c>
    </row>
    <row r="25" customFormat="false" ht="15" hidden="false" customHeight="false" outlineLevel="0" collapsed="false">
      <c r="A25" s="0" t="s">
        <v>27</v>
      </c>
      <c r="B25" s="0" t="n">
        <v>5305</v>
      </c>
      <c r="C25" s="0" t="str">
        <f aca="false">MID(A25,1,5)</f>
        <v>30023</v>
      </c>
      <c r="D25" s="0" t="str">
        <f aca="false">RIGHT(A25, LEN(A25) - FIND(" ", A25))</f>
        <v>Librilla</v>
      </c>
    </row>
    <row r="26" customFormat="false" ht="15" hidden="false" customHeight="false" outlineLevel="0" collapsed="false">
      <c r="A26" s="0" t="s">
        <v>28</v>
      </c>
      <c r="B26" s="0" t="n">
        <v>94404</v>
      </c>
      <c r="C26" s="0" t="str">
        <f aca="false">MID(A26,1,5)</f>
        <v>30024</v>
      </c>
      <c r="D26" s="0" t="str">
        <f aca="false">RIGHT(A26, LEN(A26) - FIND(" ", A26))</f>
        <v>Lorca</v>
      </c>
    </row>
    <row r="27" customFormat="false" ht="15" hidden="false" customHeight="false" outlineLevel="0" collapsed="false">
      <c r="A27" s="0" t="s">
        <v>29</v>
      </c>
      <c r="B27" s="0" t="n">
        <v>7141</v>
      </c>
      <c r="C27" s="0" t="str">
        <f aca="false">MID(A27,1,5)</f>
        <v>30025</v>
      </c>
      <c r="D27" s="0" t="str">
        <f aca="false">RIGHT(A27, LEN(A27) - FIND(" ", A27))</f>
        <v>Lorquí</v>
      </c>
    </row>
    <row r="28" customFormat="false" ht="15" hidden="false" customHeight="false" outlineLevel="0" collapsed="false">
      <c r="A28" s="0" t="s">
        <v>30</v>
      </c>
      <c r="B28" s="0" t="n">
        <v>32209</v>
      </c>
      <c r="C28" s="0" t="str">
        <f aca="false">MID(A28,1,5)</f>
        <v>30026</v>
      </c>
      <c r="D28" s="0" t="str">
        <f aca="false">RIGHT(A28, LEN(A28) - FIND(" ", A28))</f>
        <v>Mazarrón</v>
      </c>
    </row>
    <row r="29" customFormat="false" ht="15" hidden="false" customHeight="false" outlineLevel="0" collapsed="false">
      <c r="A29" s="0" t="s">
        <v>31</v>
      </c>
      <c r="B29" s="0" t="n">
        <v>71890</v>
      </c>
      <c r="C29" s="0" t="str">
        <f aca="false">MID(A29,1,5)</f>
        <v>30027</v>
      </c>
      <c r="D29" s="0" t="str">
        <f aca="false">RIGHT(A29, LEN(A29) - FIND(" ", A29))</f>
        <v>Molina de Segura</v>
      </c>
    </row>
    <row r="30" customFormat="false" ht="15" hidden="false" customHeight="false" outlineLevel="0" collapsed="false">
      <c r="A30" s="0" t="s">
        <v>32</v>
      </c>
      <c r="B30" s="0" t="n">
        <v>7839</v>
      </c>
      <c r="C30" s="0" t="str">
        <f aca="false">MID(A30,1,5)</f>
        <v>30028</v>
      </c>
      <c r="D30" s="0" t="str">
        <f aca="false">RIGHT(A30, LEN(A30) - FIND(" ", A30))</f>
        <v>Moratalla</v>
      </c>
    </row>
    <row r="31" customFormat="false" ht="15" hidden="false" customHeight="false" outlineLevel="0" collapsed="false">
      <c r="A31" s="0" t="s">
        <v>33</v>
      </c>
      <c r="B31" s="0" t="n">
        <v>16883</v>
      </c>
      <c r="C31" s="0" t="str">
        <f aca="false">MID(A31,1,5)</f>
        <v>30029</v>
      </c>
      <c r="D31" s="0" t="str">
        <f aca="false">RIGHT(A31, LEN(A31) - FIND(" ", A31))</f>
        <v>Mula</v>
      </c>
    </row>
    <row r="32" customFormat="false" ht="15" hidden="false" customHeight="false" outlineLevel="0" collapsed="false">
      <c r="A32" s="0" t="s">
        <v>34</v>
      </c>
      <c r="B32" s="0" t="n">
        <v>453258</v>
      </c>
      <c r="C32" s="0" t="str">
        <f aca="false">MID(A32,1,5)</f>
        <v>30030</v>
      </c>
      <c r="D32" s="0" t="str">
        <f aca="false">RIGHT(A32, LEN(A32) - FIND(" ", A32))</f>
        <v>Murcia</v>
      </c>
    </row>
    <row r="33" customFormat="false" ht="15" hidden="false" customHeight="false" outlineLevel="0" collapsed="false">
      <c r="A33" s="0" t="s">
        <v>35</v>
      </c>
      <c r="B33" s="0" t="n">
        <v>500</v>
      </c>
      <c r="C33" s="0" t="str">
        <f aca="false">MID(A33,1,5)</f>
        <v>30031</v>
      </c>
      <c r="D33" s="0" t="str">
        <f aca="false">RIGHT(A33, LEN(A33) - FIND(" ", A33))</f>
        <v>Ojós</v>
      </c>
    </row>
    <row r="34" customFormat="false" ht="15" hidden="false" customHeight="false" outlineLevel="0" collapsed="false">
      <c r="A34" s="0" t="s">
        <v>36</v>
      </c>
      <c r="B34" s="0" t="n">
        <v>3847</v>
      </c>
      <c r="C34" s="0" t="str">
        <f aca="false">MID(A34,1,5)</f>
        <v>30032</v>
      </c>
      <c r="D34" s="0" t="str">
        <f aca="false">RIGHT(A34, LEN(A34) - FIND(" ", A34))</f>
        <v>Pliego</v>
      </c>
    </row>
    <row r="35" customFormat="false" ht="15" hidden="false" customHeight="false" outlineLevel="0" collapsed="false">
      <c r="A35" s="0" t="s">
        <v>37</v>
      </c>
      <c r="B35" s="0" t="n">
        <v>15394</v>
      </c>
      <c r="C35" s="0" t="str">
        <f aca="false">MID(A35,1,5)</f>
        <v>30033</v>
      </c>
      <c r="D35" s="0" t="str">
        <f aca="false">RIGHT(A35, LEN(A35) - FIND(" ", A35))</f>
        <v>Puerto Lumbreras</v>
      </c>
    </row>
    <row r="36" customFormat="false" ht="15" hidden="false" customHeight="false" outlineLevel="0" collapsed="false">
      <c r="A36" s="0" t="s">
        <v>38</v>
      </c>
      <c r="B36" s="0" t="n">
        <v>1264</v>
      </c>
      <c r="C36" s="0" t="str">
        <f aca="false">MID(A36,1,5)</f>
        <v>30034</v>
      </c>
      <c r="D36" s="0" t="str">
        <f aca="false">RIGHT(A36, LEN(A36) - FIND(" ", A36))</f>
        <v>Ricote</v>
      </c>
    </row>
    <row r="37" customFormat="false" ht="15" hidden="false" customHeight="false" outlineLevel="0" collapsed="false">
      <c r="A37" s="0" t="s">
        <v>39</v>
      </c>
      <c r="B37" s="0" t="n">
        <v>32489</v>
      </c>
      <c r="C37" s="0" t="str">
        <f aca="false">MID(A37,1,5)</f>
        <v>30035</v>
      </c>
      <c r="D37" s="0" t="str">
        <f aca="false">RIGHT(A37, LEN(A37) - FIND(" ", A37))</f>
        <v>San Javier</v>
      </c>
    </row>
    <row r="38" customFormat="false" ht="15" hidden="false" customHeight="false" outlineLevel="0" collapsed="false">
      <c r="A38" s="0" t="s">
        <v>40</v>
      </c>
      <c r="B38" s="0" t="n">
        <v>25476</v>
      </c>
      <c r="C38" s="0" t="str">
        <f aca="false">MID(A38,1,5)</f>
        <v>30036</v>
      </c>
      <c r="D38" s="0" t="str">
        <f aca="false">RIGHT(A38, LEN(A38) - FIND(" ", A38))</f>
        <v>San Pedro del Pinatar</v>
      </c>
    </row>
    <row r="39" customFormat="false" ht="15" hidden="false" customHeight="false" outlineLevel="0" collapsed="false">
      <c r="A39" s="0" t="s">
        <v>41</v>
      </c>
      <c r="B39" s="0" t="n">
        <v>16206</v>
      </c>
      <c r="C39" s="0" t="str">
        <f aca="false">MID(A39,1,5)</f>
        <v>30901</v>
      </c>
      <c r="D39" s="0" t="str">
        <f aca="false">RIGHT(A39, LEN(A39) - FIND(" ", A39))</f>
        <v>Santomera</v>
      </c>
    </row>
    <row r="40" customFormat="false" ht="15" hidden="false" customHeight="false" outlineLevel="0" collapsed="false">
      <c r="A40" s="0" t="s">
        <v>42</v>
      </c>
      <c r="B40" s="0" t="n">
        <v>35676</v>
      </c>
      <c r="C40" s="0" t="str">
        <f aca="false">MID(A40,1,5)</f>
        <v>30037</v>
      </c>
      <c r="D40" s="0" t="str">
        <f aca="false">RIGHT(A40, LEN(A40) - FIND(" ", A40))</f>
        <v>Torre-Pacheco</v>
      </c>
    </row>
    <row r="41" customFormat="false" ht="15" hidden="false" customHeight="false" outlineLevel="0" collapsed="false">
      <c r="A41" s="0" t="s">
        <v>43</v>
      </c>
      <c r="B41" s="0" t="n">
        <v>21471</v>
      </c>
      <c r="C41" s="0" t="str">
        <f aca="false">MID(A41,1,5)</f>
        <v>30038</v>
      </c>
      <c r="D41" s="0" t="str">
        <f aca="false">RIGHT(A41, LEN(A41) - FIND(" ", A41))</f>
        <v>Torres de Cotillas, Las</v>
      </c>
    </row>
    <row r="42" customFormat="false" ht="15" hidden="false" customHeight="false" outlineLevel="0" collapsed="false">
      <c r="A42" s="0" t="s">
        <v>44</v>
      </c>
      <c r="B42" s="0" t="n">
        <v>32008</v>
      </c>
      <c r="C42" s="0" t="str">
        <f aca="false">MID(A42,1,5)</f>
        <v>30039</v>
      </c>
      <c r="D42" s="0" t="str">
        <f aca="false">RIGHT(A42, LEN(A42) - FIND(" ", A42))</f>
        <v>Totana</v>
      </c>
    </row>
    <row r="43" customFormat="false" ht="15" hidden="false" customHeight="false" outlineLevel="0" collapsed="false">
      <c r="A43" s="0" t="s">
        <v>45</v>
      </c>
      <c r="B43" s="0" t="n">
        <v>874</v>
      </c>
      <c r="C43" s="0" t="str">
        <f aca="false">MID(A43,1,5)</f>
        <v>30040</v>
      </c>
      <c r="D43" s="0" t="str">
        <f aca="false">RIGHT(A43, LEN(A43) - FIND(" ", A43))</f>
        <v>Ulea</v>
      </c>
    </row>
    <row r="44" customFormat="false" ht="15" hidden="false" customHeight="false" outlineLevel="0" collapsed="false">
      <c r="A44" s="0" t="s">
        <v>46</v>
      </c>
      <c r="B44" s="0" t="n">
        <v>20225</v>
      </c>
      <c r="C44" s="0" t="str">
        <f aca="false">MID(A44,1,5)</f>
        <v>30041</v>
      </c>
      <c r="D44" s="0" t="str">
        <f aca="false">RIGHT(A44, LEN(A44) - FIND(" ", A44))</f>
        <v>Unión, La</v>
      </c>
    </row>
    <row r="45" customFormat="false" ht="15" hidden="false" customHeight="false" outlineLevel="0" collapsed="false">
      <c r="A45" s="0" t="s">
        <v>47</v>
      </c>
      <c r="B45" s="0" t="n">
        <v>2910</v>
      </c>
      <c r="C45" s="0" t="str">
        <f aca="false">MID(A45,1,5)</f>
        <v>30042</v>
      </c>
      <c r="D45" s="0" t="str">
        <f aca="false">RIGHT(A45, LEN(A45) - FIND(" ", A45))</f>
        <v>Villanueva del Río Segura</v>
      </c>
    </row>
    <row r="46" customFormat="false" ht="15" hidden="false" customHeight="false" outlineLevel="0" collapsed="false">
      <c r="A46" s="0" t="s">
        <v>48</v>
      </c>
      <c r="B46" s="0" t="n">
        <v>34432</v>
      </c>
      <c r="C46" s="0" t="str">
        <f aca="false">MID(A46,1,5)</f>
        <v>30043</v>
      </c>
      <c r="D46" s="0" t="str">
        <f aca="false">RIGHT(A46, LEN(A46) - FIND(" ", A46))</f>
        <v>Yecla</v>
      </c>
    </row>
    <row r="47" customFormat="false" ht="13.8" hidden="false" customHeight="false" outlineLevel="0" collapsed="false">
      <c r="A47" s="0" t="s">
        <v>49</v>
      </c>
      <c r="C47" s="1" t="n">
        <v>30999</v>
      </c>
      <c r="D47" s="0" t="s">
        <v>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LibreOffice/6.1.5.2$Linux_X86_64 LibreOffice_project/10$Build-2</Application>
  <Company>C.A.R.M.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2020-07-23T10:27:19Z</dcterms:created>
  <dc:creator>GOMEZ GOMEZ, JESUS HUMBERTO</dc:creator>
  <dc:description/>
  <dc:language>es-MX</dc:language>
  <cp:lastModifiedBy>jmolibo </cp:lastModifiedBy>
  <dcterms:modified xsi:type="dcterms:W3CDTF">2020-11-04T10:21:51Z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C.A.R.M.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